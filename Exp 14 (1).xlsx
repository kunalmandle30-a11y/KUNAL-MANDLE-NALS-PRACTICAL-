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4E0D107E9856D80/SA-05-G1-KUNAL MANDLE/Documents/Custom Office Templates/"/>
    </mc:Choice>
  </mc:AlternateContent>
  <xr:revisionPtr revIDLastSave="0" documentId="8_{C2753105-7FAF-4B42-AF91-82E7C5EDF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e Sales" sheetId="1" r:id="rId1"/>
    <sheet name="Summary" sheetId="2" r:id="rId2"/>
    <sheet name="Charts" sheetId="3" r:id="rId3"/>
  </sheets>
  <definedNames>
    <definedName name="_xlnm._FilterDatabase" localSheetId="0" hidden="1">'Store Sales'!$A$1:$F$23</definedName>
    <definedName name="_xlnm._FilterDatabase" localSheetId="1" hidden="1">Summary!$A$1:$C$1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2" i="2"/>
  <c r="B3" i="2"/>
  <c r="B4" i="2"/>
  <c r="I24" i="1"/>
  <c r="I23" i="1"/>
  <c r="I22" i="1"/>
  <c r="I21" i="1"/>
  <c r="I20" i="1"/>
  <c r="I19" i="1"/>
  <c r="I18" i="1"/>
  <c r="I17" i="1"/>
  <c r="I16" i="1"/>
  <c r="I14" i="1"/>
  <c r="I9" i="1"/>
  <c r="I7" i="1"/>
  <c r="H23" i="1"/>
  <c r="H22" i="1"/>
  <c r="H21" i="1"/>
  <c r="H20" i="1"/>
  <c r="H19" i="1"/>
  <c r="H18" i="1"/>
  <c r="H17" i="1"/>
  <c r="H16" i="1"/>
  <c r="H14" i="1"/>
  <c r="H9" i="1"/>
  <c r="H7" i="1"/>
  <c r="I6" i="1"/>
  <c r="H6" i="1"/>
  <c r="F14" i="1"/>
  <c r="G14" i="1" s="1"/>
  <c r="F9" i="1"/>
  <c r="G9" i="1" s="1"/>
  <c r="F7" i="1"/>
  <c r="G7" i="1" s="1"/>
  <c r="F6" i="1"/>
  <c r="B2" i="2" s="1"/>
  <c r="G6" i="1" l="1"/>
  <c r="J6" i="1"/>
  <c r="K6" i="1"/>
</calcChain>
</file>

<file path=xl/sharedStrings.xml><?xml version="1.0" encoding="utf-8"?>
<sst xmlns="http://schemas.openxmlformats.org/spreadsheetml/2006/main" count="61" uniqueCount="33">
  <si>
    <t>Date</t>
  </si>
  <si>
    <t>Product</t>
  </si>
  <si>
    <t>Category</t>
  </si>
  <si>
    <t>Quantity</t>
  </si>
  <si>
    <t>Price</t>
  </si>
  <si>
    <t>TOTAL SALES</t>
  </si>
  <si>
    <t>Total Sales For Headphone Product</t>
  </si>
  <si>
    <t xml:space="preserve">First Three Letters Of Product Name </t>
  </si>
  <si>
    <t>Last 2 Letter Category</t>
  </si>
  <si>
    <t>Max</t>
  </si>
  <si>
    <t>Min</t>
  </si>
  <si>
    <t>Bookshelf</t>
  </si>
  <si>
    <t>Furniture</t>
  </si>
  <si>
    <t>Calculator</t>
  </si>
  <si>
    <t>Stationery</t>
  </si>
  <si>
    <t>Desk</t>
  </si>
  <si>
    <t>Headphones</t>
  </si>
  <si>
    <t>Accessories</t>
  </si>
  <si>
    <t>Electronics</t>
  </si>
  <si>
    <t>Keyboard</t>
  </si>
  <si>
    <t>Laptop</t>
  </si>
  <si>
    <t>Mouse</t>
  </si>
  <si>
    <t>Notebook</t>
  </si>
  <si>
    <t>Office Chair</t>
  </si>
  <si>
    <t>Pen Pack</t>
  </si>
  <si>
    <t>Smartphone</t>
  </si>
  <si>
    <t>USB Drive</t>
  </si>
  <si>
    <t>Month</t>
  </si>
  <si>
    <t>Average</t>
  </si>
  <si>
    <t>Sum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</si>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</sst>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Summary!$B$2:$B$4</c:f>
              <c:numCache>
                <c:formatCode>General</c:formatCode>
                <c:ptCount val="3"/>
                <c:pt idx="0">
                  <c:v>1325</c:v>
                </c:pt>
                <c:pt idx="1">
                  <c:v>1633.3333333333333</c:v>
                </c:pt>
                <c:pt idx="2">
                  <c:v>1766.6666666666667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5-40EF-9223-C785F54ED09F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Summary!$C$2:$C$4</c:f>
              <c:numCache>
                <c:formatCode>General</c:formatCode>
                <c:ptCount val="3"/>
                <c:pt idx="0">
                  <c:v>5300</c:v>
                </c:pt>
                <c:pt idx="1">
                  <c:v>5300</c:v>
                </c:pt>
                <c:pt idx="2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05-40EF-9223-C785F54ED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1693839"/>
        <c:axId val="1881702959"/>
      </c:lineChart>
      <c:catAx>
        <c:axId val="188169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02959"/>
        <c:crosses val="autoZero"/>
        <c:auto val="1"/>
        <c:lblAlgn val="ctr"/>
        <c:lblOffset val="100"/>
        <c:noMultiLvlLbl val="0"/>
      </c:catAx>
      <c:valAx>
        <c:axId val="188170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693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784860</xdr:colOff>
      <xdr:row>2</xdr:row>
      <xdr:rowOff>137160</xdr:rowOff>
    </xdr:from>
    <xdr:to>
      <xdr:col>8</xdr:col>
      <xdr:colOff>1005840</xdr:colOff>
      <xdr:row>14</xdr:row>
      <xdr:rowOff>217170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854536-9031-EBAD-2724-B9B562061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4"/>
  <sheetViews>
    <sheetView tabSelected="1" zoomScale="80" zoomScaleNormal="80" workbookViewId="0">
      <selection activeCell="G6" sqref="G6"/>
    </sheetView>
  </sheetViews>
  <sheetFormatPr defaultRowHeight="20.399999999999999" x14ac:dyDescent="0.35"/>
  <cols>
    <col min="1" max="1" width="11.1328125" customWidth="1"/>
    <col min="2" max="2" width="11.6640625" customWidth="1"/>
    <col min="3" max="3" width="11.46484375" customWidth="1"/>
    <col min="7" max="7" width="14.3984375" customWidth="1"/>
    <col min="8" max="8" width="15.9296875" customWidth="1"/>
  </cols>
  <sheetData>
    <row r="1" spans="1:11" ht="6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.4" hidden="1" customHeight="1" x14ac:dyDescent="0.35">
      <c r="A2" s="3">
        <v>45669</v>
      </c>
      <c r="B2" s="4" t="s">
        <v>11</v>
      </c>
      <c r="C2" s="4" t="s">
        <v>12</v>
      </c>
      <c r="D2" s="4">
        <v>2</v>
      </c>
      <c r="E2" s="4">
        <v>180</v>
      </c>
      <c r="F2" s="4"/>
      <c r="H2" s="5"/>
    </row>
    <row r="3" spans="1:11" ht="36" hidden="1" customHeight="1" x14ac:dyDescent="0.35">
      <c r="A3" s="3">
        <v>45670</v>
      </c>
      <c r="B3" s="4" t="s">
        <v>13</v>
      </c>
      <c r="C3" s="4" t="s">
        <v>14</v>
      </c>
      <c r="D3" s="4">
        <v>7</v>
      </c>
      <c r="E3" s="4">
        <v>30</v>
      </c>
      <c r="F3" s="4"/>
    </row>
    <row r="4" spans="1:11" ht="31.95" hidden="1" customHeight="1" x14ac:dyDescent="0.35">
      <c r="A4" s="3">
        <v>45662</v>
      </c>
      <c r="B4" s="4" t="s">
        <v>15</v>
      </c>
      <c r="C4" s="4" t="s">
        <v>12</v>
      </c>
      <c r="D4" s="4">
        <v>2</v>
      </c>
      <c r="E4" s="4">
        <v>300</v>
      </c>
      <c r="F4" s="4"/>
    </row>
    <row r="5" spans="1:11" ht="25.2" hidden="1" customHeight="1" x14ac:dyDescent="0.35">
      <c r="A5" s="3">
        <v>45660</v>
      </c>
      <c r="B5" s="4" t="s">
        <v>16</v>
      </c>
      <c r="C5" s="4" t="s">
        <v>17</v>
      </c>
      <c r="D5" s="4">
        <v>10</v>
      </c>
      <c r="E5" s="4">
        <v>50</v>
      </c>
      <c r="F5" s="4"/>
    </row>
    <row r="6" spans="1:11" ht="30.6" customHeight="1" x14ac:dyDescent="0.35">
      <c r="A6" s="3">
        <v>45665</v>
      </c>
      <c r="B6" s="4" t="s">
        <v>16</v>
      </c>
      <c r="C6" s="4" t="s">
        <v>18</v>
      </c>
      <c r="D6" s="4">
        <v>1</v>
      </c>
      <c r="E6" s="4">
        <v>400</v>
      </c>
      <c r="F6" s="4">
        <f>D6*E6</f>
        <v>400</v>
      </c>
      <c r="G6">
        <f>SUMIF(B6:B14, "Headphones",F6:F14)</f>
        <v>1200</v>
      </c>
      <c r="H6" t="str">
        <f>LEFT(B1,3)</f>
        <v>Pro</v>
      </c>
      <c r="I6" t="str">
        <f>RIGHT(B6,2)</f>
        <v>es</v>
      </c>
      <c r="J6">
        <f>MAX(F6:F14)</f>
        <v>2500</v>
      </c>
      <c r="K6">
        <f>MIN(F6:F14)</f>
        <v>400</v>
      </c>
    </row>
    <row r="7" spans="1:11" ht="25.95" customHeight="1" x14ac:dyDescent="0.35">
      <c r="A7" s="3">
        <v>45668</v>
      </c>
      <c r="B7" s="4" t="s">
        <v>16</v>
      </c>
      <c r="C7" s="4" t="s">
        <v>18</v>
      </c>
      <c r="D7" s="4">
        <v>4</v>
      </c>
      <c r="E7" s="4">
        <v>200</v>
      </c>
      <c r="F7" s="4">
        <f>D7*E7</f>
        <v>800</v>
      </c>
      <c r="G7">
        <f>SUMIF(B7:B15, "Headphones",F7:F15)</f>
        <v>800</v>
      </c>
      <c r="H7" t="str">
        <f>LEFT(B2,3)</f>
        <v>Boo</v>
      </c>
      <c r="I7" t="str">
        <f>RIGHT(B7,2)</f>
        <v>es</v>
      </c>
    </row>
    <row r="8" spans="1:11" ht="36" hidden="1" customHeight="1" x14ac:dyDescent="0.35">
      <c r="A8" s="3">
        <v>45667</v>
      </c>
      <c r="B8" s="4" t="s">
        <v>19</v>
      </c>
      <c r="C8" s="4" t="s">
        <v>17</v>
      </c>
      <c r="D8" s="4">
        <v>6</v>
      </c>
      <c r="E8" s="4">
        <v>40</v>
      </c>
      <c r="F8" s="4"/>
    </row>
    <row r="9" spans="1:11" x14ac:dyDescent="0.35">
      <c r="A9" s="3">
        <v>45658</v>
      </c>
      <c r="B9" s="4" t="s">
        <v>20</v>
      </c>
      <c r="C9" s="4" t="s">
        <v>18</v>
      </c>
      <c r="D9" s="4">
        <v>2</v>
      </c>
      <c r="E9" s="4">
        <v>800</v>
      </c>
      <c r="F9" s="4">
        <f>D9*E9</f>
        <v>1600</v>
      </c>
      <c r="G9">
        <f>SUMIF(B9:B17, "Laptop",F9:F17)</f>
        <v>2400</v>
      </c>
      <c r="H9" t="str">
        <f>LEFT(B4,3)</f>
        <v>Des</v>
      </c>
      <c r="I9" t="str">
        <f>RIGHT(B9,2)</f>
        <v>op</v>
      </c>
    </row>
    <row r="10" spans="1:11" hidden="1" x14ac:dyDescent="0.35">
      <c r="A10" s="3">
        <v>45666</v>
      </c>
      <c r="B10" s="4" t="s">
        <v>21</v>
      </c>
      <c r="C10" s="4" t="s">
        <v>17</v>
      </c>
      <c r="D10" s="4">
        <v>8</v>
      </c>
      <c r="E10" s="4">
        <v>25</v>
      </c>
      <c r="F10" s="4"/>
    </row>
    <row r="11" spans="1:11" hidden="1" x14ac:dyDescent="0.35">
      <c r="A11" s="3">
        <v>45663</v>
      </c>
      <c r="B11" s="4" t="s">
        <v>22</v>
      </c>
      <c r="C11" s="4" t="s">
        <v>14</v>
      </c>
      <c r="D11" s="4">
        <v>20</v>
      </c>
      <c r="E11" s="4">
        <v>5</v>
      </c>
      <c r="F11" s="4"/>
    </row>
    <row r="12" spans="1:11" hidden="1" x14ac:dyDescent="0.35">
      <c r="A12" s="3">
        <v>45661</v>
      </c>
      <c r="B12" s="4" t="s">
        <v>23</v>
      </c>
      <c r="C12" s="4" t="s">
        <v>12</v>
      </c>
      <c r="D12" s="4">
        <v>3</v>
      </c>
      <c r="E12" s="4">
        <v>150</v>
      </c>
      <c r="F12" s="4"/>
    </row>
    <row r="13" spans="1:11" hidden="1" x14ac:dyDescent="0.35">
      <c r="A13" s="3">
        <v>45664</v>
      </c>
      <c r="B13" s="4" t="s">
        <v>24</v>
      </c>
      <c r="C13" s="4" t="s">
        <v>14</v>
      </c>
      <c r="D13" s="4">
        <v>15</v>
      </c>
      <c r="E13" s="4">
        <v>10</v>
      </c>
      <c r="F13" s="4"/>
    </row>
    <row r="14" spans="1:11" x14ac:dyDescent="0.35">
      <c r="A14" s="3">
        <v>45659</v>
      </c>
      <c r="B14" s="4" t="s">
        <v>25</v>
      </c>
      <c r="C14" s="4" t="s">
        <v>18</v>
      </c>
      <c r="D14" s="4">
        <v>5</v>
      </c>
      <c r="E14" s="4">
        <v>500</v>
      </c>
      <c r="F14" s="4">
        <f>D14*E14</f>
        <v>2500</v>
      </c>
      <c r="G14">
        <f>SUMIF(B14:B22, "Smartphone",F14:F22)</f>
        <v>6000</v>
      </c>
      <c r="H14" t="str">
        <f>LEFT(B9,3)</f>
        <v>Lap</v>
      </c>
      <c r="I14" t="str">
        <f>RIGHT(B14,2)</f>
        <v>ne</v>
      </c>
    </row>
    <row r="15" spans="1:11" hidden="1" x14ac:dyDescent="0.35">
      <c r="A15" s="3">
        <v>45671</v>
      </c>
      <c r="B15" s="4" t="s">
        <v>26</v>
      </c>
      <c r="C15" s="4" t="s">
        <v>17</v>
      </c>
      <c r="D15" s="4">
        <v>12</v>
      </c>
      <c r="E15" s="4">
        <v>15</v>
      </c>
      <c r="F15" s="4"/>
    </row>
    <row r="16" spans="1:11" x14ac:dyDescent="0.35">
      <c r="A16" s="2">
        <v>45691</v>
      </c>
      <c r="B16" t="s">
        <v>16</v>
      </c>
      <c r="C16" t="s">
        <v>18</v>
      </c>
      <c r="D16">
        <v>3</v>
      </c>
      <c r="E16">
        <v>400</v>
      </c>
      <c r="F16">
        <v>1200</v>
      </c>
      <c r="H16" t="str">
        <f t="shared" ref="H16:H23" si="0">LEFT(B11,3)</f>
        <v>Not</v>
      </c>
      <c r="I16" t="str">
        <f t="shared" ref="I16:I24" si="1">RIGHT(B16,2)</f>
        <v>es</v>
      </c>
    </row>
    <row r="17" spans="1:9" x14ac:dyDescent="0.35">
      <c r="A17" s="2">
        <v>45695</v>
      </c>
      <c r="B17" t="s">
        <v>20</v>
      </c>
      <c r="C17" t="s">
        <v>18</v>
      </c>
      <c r="D17">
        <v>1</v>
      </c>
      <c r="E17">
        <v>800</v>
      </c>
      <c r="F17">
        <v>800</v>
      </c>
      <c r="H17" t="str">
        <f t="shared" si="0"/>
        <v>Off</v>
      </c>
      <c r="I17" t="str">
        <f t="shared" si="1"/>
        <v>op</v>
      </c>
    </row>
    <row r="18" spans="1:9" x14ac:dyDescent="0.35">
      <c r="A18" s="2">
        <v>45703</v>
      </c>
      <c r="B18" t="s">
        <v>25</v>
      </c>
      <c r="C18" t="s">
        <v>18</v>
      </c>
      <c r="D18">
        <v>4</v>
      </c>
      <c r="E18">
        <v>500</v>
      </c>
      <c r="F18">
        <v>2000</v>
      </c>
      <c r="H18" t="str">
        <f t="shared" si="0"/>
        <v>Pen</v>
      </c>
      <c r="I18" t="str">
        <f t="shared" si="1"/>
        <v>ne</v>
      </c>
    </row>
    <row r="19" spans="1:9" x14ac:dyDescent="0.35">
      <c r="A19" s="2">
        <v>45710</v>
      </c>
      <c r="B19" t="s">
        <v>16</v>
      </c>
      <c r="C19" t="s">
        <v>18</v>
      </c>
      <c r="D19">
        <v>2</v>
      </c>
      <c r="E19">
        <v>400</v>
      </c>
      <c r="F19">
        <v>800</v>
      </c>
      <c r="H19" t="str">
        <f t="shared" si="0"/>
        <v>Sma</v>
      </c>
      <c r="I19" t="str">
        <f t="shared" si="1"/>
        <v>es</v>
      </c>
    </row>
    <row r="20" spans="1:9" x14ac:dyDescent="0.35">
      <c r="A20" s="2">
        <v>45718</v>
      </c>
      <c r="B20" t="s">
        <v>25</v>
      </c>
      <c r="C20" t="s">
        <v>18</v>
      </c>
      <c r="D20">
        <v>3</v>
      </c>
      <c r="E20">
        <v>500</v>
      </c>
      <c r="F20">
        <v>1500</v>
      </c>
      <c r="H20" t="str">
        <f t="shared" si="0"/>
        <v>USB</v>
      </c>
      <c r="I20" t="str">
        <f t="shared" si="1"/>
        <v>ne</v>
      </c>
    </row>
    <row r="21" spans="1:9" x14ac:dyDescent="0.35">
      <c r="A21" s="2">
        <v>45726</v>
      </c>
      <c r="B21" t="s">
        <v>20</v>
      </c>
      <c r="C21" t="s">
        <v>18</v>
      </c>
      <c r="D21">
        <v>2</v>
      </c>
      <c r="E21">
        <v>800</v>
      </c>
      <c r="F21">
        <v>1600</v>
      </c>
      <c r="H21" t="str">
        <f t="shared" si="0"/>
        <v>Hea</v>
      </c>
      <c r="I21" t="str">
        <f t="shared" si="1"/>
        <v>op</v>
      </c>
    </row>
    <row r="22" spans="1:9" x14ac:dyDescent="0.35">
      <c r="A22" s="2">
        <v>45734</v>
      </c>
      <c r="B22" t="s">
        <v>16</v>
      </c>
      <c r="C22" t="s">
        <v>18</v>
      </c>
      <c r="D22">
        <v>5</v>
      </c>
      <c r="E22">
        <v>400</v>
      </c>
      <c r="F22">
        <v>2000</v>
      </c>
      <c r="H22" t="str">
        <f t="shared" si="0"/>
        <v>Lap</v>
      </c>
      <c r="I22" t="str">
        <f t="shared" si="1"/>
        <v>es</v>
      </c>
    </row>
    <row r="23" spans="1:9" x14ac:dyDescent="0.35">
      <c r="A23" s="2">
        <v>45741</v>
      </c>
      <c r="B23" t="s">
        <v>25</v>
      </c>
      <c r="C23" t="s">
        <v>18</v>
      </c>
      <c r="D23">
        <v>1</v>
      </c>
      <c r="E23">
        <v>500</v>
      </c>
      <c r="F23">
        <v>500</v>
      </c>
      <c r="H23" t="str">
        <f t="shared" si="0"/>
        <v>Sma</v>
      </c>
      <c r="I23" t="str">
        <f t="shared" si="1"/>
        <v>ne</v>
      </c>
    </row>
    <row r="24" spans="1:9" x14ac:dyDescent="0.35">
      <c r="I24" t="str">
        <f t="shared" si="1"/>
        <v/>
      </c>
    </row>
  </sheetData>
  <sheetProtection sheet="1" objects="1" scenarios="1"/>
  <autoFilter ref="A1:F23" xr:uid="{00000000-0001-0000-0000-000000000000}">
    <filterColumn colId="2">
      <filters>
        <filter val="Electronics"/>
      </filters>
    </filterColumn>
  </autoFilter>
  <sortState xmlns:xlrd2="http://schemas.microsoft.com/office/spreadsheetml/2017/richdata2" ref="A2:F15">
    <sortCondition ref="B2:B1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79BD-BE05-4E37-8D9A-7BEFBFEB4D78}">
  <dimension ref="A1:C4"/>
  <sheetViews>
    <sheetView topLeftCell="A2" workbookViewId="0">
      <selection activeCell="B3" sqref="B3"/>
    </sheetView>
  </sheetViews>
  <sheetFormatPr defaultRowHeight="20.399999999999999" x14ac:dyDescent="0.35"/>
  <cols>
    <col min="1" max="1" width="9.59765625" customWidth="1"/>
    <col min="2" max="2" width="13.33203125" customWidth="1"/>
  </cols>
  <sheetData>
    <row r="1" spans="1:3" ht="27.6" customHeight="1" x14ac:dyDescent="0.35">
      <c r="A1" s="6" t="s">
        <v>27</v>
      </c>
      <c r="B1" t="s">
        <v>28</v>
      </c>
      <c r="C1" t="s">
        <v>29</v>
      </c>
    </row>
    <row r="2" spans="1:3" x14ac:dyDescent="0.35">
      <c r="A2" t="s">
        <v>30</v>
      </c>
      <c r="B2">
        <f>AVERAGE('Store Sales'!F6:F14)</f>
        <v>1325</v>
      </c>
      <c r="C2">
        <f>SUM('Store Sales'!F1:F14)</f>
        <v>5300</v>
      </c>
    </row>
    <row r="3" spans="1:3" x14ac:dyDescent="0.35">
      <c r="A3" t="s">
        <v>31</v>
      </c>
      <c r="B3">
        <f>AVERAGE('Store Sales'!F7:F15)</f>
        <v>1633.3333333333333</v>
      </c>
      <c r="C3">
        <f>SUM('Store Sales'!F2:F15)</f>
        <v>5300</v>
      </c>
    </row>
    <row r="4" spans="1:3" x14ac:dyDescent="0.35">
      <c r="A4" t="s">
        <v>32</v>
      </c>
      <c r="B4">
        <f>AVERAGE('Store Sales'!F8:F16)</f>
        <v>1766.6666666666667</v>
      </c>
      <c r="C4">
        <f>SUM('Store Sales'!F3:F16)</f>
        <v>6500</v>
      </c>
    </row>
  </sheetData>
  <sheetProtection sheet="1" objects="1" scenarios="1"/>
  <autoFilter ref="A1:C1" xr:uid="{F13D79BD-BE05-4E37-8D9A-7BEFBFEB4D78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8CC1-29FB-4AC0-8C40-FF1EF5A9B7C5}">
  <dimension ref="A1"/>
  <sheetViews>
    <sheetView workbookViewId="0"/>
  </sheetViews>
  <sheetFormatPr defaultRowHeight="20.399999999999999" x14ac:dyDescent="0.35"/>
  <sheetData/>
  <sheetProtection sheet="1" objects="1" scenarios="1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 Sales</vt:lpstr>
      <vt:lpstr>Summary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kunal mandle</cp:lastModifiedBy>
  <cp:revision/>
  <dcterms:created xsi:type="dcterms:W3CDTF">2025-12-24T02:11:32Z</dcterms:created>
  <dcterms:modified xsi:type="dcterms:W3CDTF">2026-01-03T09:31:42Z</dcterms:modified>
  <cp:category/>
  <cp:contentStatus/>
</cp:coreProperties>
</file>